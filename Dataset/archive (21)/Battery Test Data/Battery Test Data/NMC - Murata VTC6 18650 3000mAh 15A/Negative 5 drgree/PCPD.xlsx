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ASHANT\NMC\Negative 5 drgree\"/>
    </mc:Choice>
  </mc:AlternateContent>
  <xr:revisionPtr revIDLastSave="0" documentId="13_ncr:1_{D3700349-DCD6-44A0-A989-3EB0575AD33B}" xr6:coauthVersionLast="45" xr6:coauthVersionMax="45" xr10:uidLastSave="{00000000-0000-0000-0000-000000000000}"/>
  <bookViews>
    <workbookView xWindow="-108" yWindow="-108" windowWidth="23256" windowHeight="12576" activeTab="1" xr2:uid="{44D82204-2CAE-428B-9B31-F6EED49B054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  <c r="J3" i="1"/>
  <c r="J4" i="1" s="1"/>
  <c r="J5" i="1" s="1"/>
  <c r="J6" i="1" s="1"/>
  <c r="J7" i="1" s="1"/>
  <c r="J8" i="1" s="1"/>
  <c r="J9" i="1" s="1"/>
  <c r="J10" i="1" s="1"/>
  <c r="J11" i="1" s="1"/>
  <c r="J12" i="1" s="1"/>
</calcChain>
</file>

<file path=xl/sharedStrings.xml><?xml version="1.0" encoding="utf-8"?>
<sst xmlns="http://schemas.openxmlformats.org/spreadsheetml/2006/main" count="26" uniqueCount="5">
  <si>
    <t>Rest</t>
  </si>
  <si>
    <t>CC_DChg</t>
  </si>
  <si>
    <t>OCV_N5D_NMC_Dis</t>
  </si>
  <si>
    <t>SOC_N5D_NMC_Dis</t>
  </si>
  <si>
    <t>SOE_N5D_NMC_Dis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</si>
</sst>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2" borderId="1" xfId="0" applyNumberFormat="1" applyFill="1" applyBorder="1"/>
    <xf numFmtId="164" fontId="0" fillId="0" borderId="0" xfId="0" applyNumberFormat="1"/>
    <xf numFmtId="165" fontId="0" fillId="2" borderId="1" xfId="0" applyNumberForma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0149-A3F8-4464-AECC-B151B4659C9F}">
  <dimension ref="A1:L21"/>
  <sheetViews>
    <sheetView workbookViewId="0">
      <selection activeCell="K1" sqref="K1:M1048576"/>
    </sheetView>
  </sheetViews>
  <sheetFormatPr defaultRowHeight="14.4" x14ac:dyDescent="0.3"/>
  <cols>
    <col min="4" max="5" width="9.21875" bestFit="1" customWidth="1"/>
    <col min="11" max="11" width="16.88671875" customWidth="1"/>
  </cols>
  <sheetData>
    <row r="1" spans="1:12" x14ac:dyDescent="0.3">
      <c r="A1" t="s">
        <v>0</v>
      </c>
      <c r="B1" s="1">
        <v>4.1963999999999997</v>
      </c>
      <c r="C1" s="2">
        <v>4.1414999999999997</v>
      </c>
      <c r="D1" s="3">
        <v>0</v>
      </c>
      <c r="E1" s="4">
        <v>0</v>
      </c>
      <c r="F1" s="3">
        <v>0</v>
      </c>
      <c r="K1" t="s">
        <v>3</v>
      </c>
      <c r="L1" t="s">
        <v>2</v>
      </c>
    </row>
    <row r="2" spans="1:12" x14ac:dyDescent="0.3">
      <c r="A2" t="s">
        <v>1</v>
      </c>
      <c r="B2" s="1">
        <v>4.0465999999999998</v>
      </c>
      <c r="C2" s="2">
        <v>3.8050999999999999</v>
      </c>
      <c r="D2" s="3">
        <v>-2100.4</v>
      </c>
      <c r="E2" s="4">
        <v>-2101.1</v>
      </c>
      <c r="F2" s="3">
        <v>210.05655555555555</v>
      </c>
      <c r="J2">
        <v>2069.86188888889</v>
      </c>
      <c r="K2">
        <f>100*(J2/2069.86188888889)</f>
        <v>100</v>
      </c>
      <c r="L2" s="2">
        <v>4.1414999999999997</v>
      </c>
    </row>
    <row r="3" spans="1:12" x14ac:dyDescent="0.3">
      <c r="A3" t="s">
        <v>0</v>
      </c>
      <c r="B3" s="1">
        <v>3.8826000000000001</v>
      </c>
      <c r="C3" s="2">
        <v>4.0655999999999999</v>
      </c>
      <c r="D3" s="3">
        <v>0</v>
      </c>
      <c r="E3" s="4">
        <v>0</v>
      </c>
      <c r="F3" s="3">
        <v>0</v>
      </c>
      <c r="I3" s="3">
        <v>210.05655555555555</v>
      </c>
      <c r="J3" s="4">
        <f>J2-I3</f>
        <v>1859.8053333333344</v>
      </c>
      <c r="K3">
        <f t="shared" ref="K3:K11" si="0">100*(J3/2069.86188888889)</f>
        <v>89.851663210808965</v>
      </c>
      <c r="L3" s="2">
        <v>4.0655999999999999</v>
      </c>
    </row>
    <row r="4" spans="1:12" x14ac:dyDescent="0.3">
      <c r="A4" t="s">
        <v>1</v>
      </c>
      <c r="B4" s="1">
        <v>3.9719000000000002</v>
      </c>
      <c r="C4" s="2">
        <v>3.7378999999999998</v>
      </c>
      <c r="D4" s="3">
        <v>-2099.6999999999998</v>
      </c>
      <c r="E4" s="4">
        <v>-2101.1</v>
      </c>
      <c r="F4" s="3">
        <v>210.0541388888889</v>
      </c>
      <c r="I4" s="3">
        <v>210.0541388888889</v>
      </c>
      <c r="J4" s="4">
        <f t="shared" ref="J4:J12" si="1">J3-I4</f>
        <v>1649.7511944444454</v>
      </c>
      <c r="K4">
        <f t="shared" si="0"/>
        <v>79.703443176589843</v>
      </c>
      <c r="L4" s="2">
        <v>3.9822000000000002</v>
      </c>
    </row>
    <row r="5" spans="1:12" x14ac:dyDescent="0.3">
      <c r="A5" t="s">
        <v>0</v>
      </c>
      <c r="B5" s="1">
        <v>3.8166000000000002</v>
      </c>
      <c r="C5" s="2">
        <v>3.9822000000000002</v>
      </c>
      <c r="D5" s="3">
        <v>0</v>
      </c>
      <c r="E5" s="4">
        <v>0</v>
      </c>
      <c r="F5" s="3">
        <v>0</v>
      </c>
      <c r="I5" s="3">
        <v>210.04855555555557</v>
      </c>
      <c r="J5" s="4">
        <f t="shared" si="1"/>
        <v>1439.7026388888899</v>
      </c>
      <c r="K5">
        <f t="shared" si="0"/>
        <v>69.555492886616108</v>
      </c>
      <c r="L5" s="2">
        <v>3.8822999999999999</v>
      </c>
    </row>
    <row r="6" spans="1:12" x14ac:dyDescent="0.3">
      <c r="A6" t="s">
        <v>1</v>
      </c>
      <c r="B6" s="1">
        <v>3.8900999999999999</v>
      </c>
      <c r="C6" s="2">
        <v>3.6665999999999999</v>
      </c>
      <c r="D6" s="3">
        <v>-2099.6999999999998</v>
      </c>
      <c r="E6" s="4">
        <v>-2101.9</v>
      </c>
      <c r="F6" s="3">
        <v>210.04855555555557</v>
      </c>
      <c r="I6" s="3">
        <v>210.05672222222222</v>
      </c>
      <c r="J6" s="4">
        <f t="shared" si="1"/>
        <v>1229.6459166666677</v>
      </c>
      <c r="K6">
        <f t="shared" si="0"/>
        <v>59.407148045358063</v>
      </c>
      <c r="L6" s="2">
        <v>3.8075999999999999</v>
      </c>
    </row>
    <row r="7" spans="1:12" x14ac:dyDescent="0.3">
      <c r="A7" t="s">
        <v>0</v>
      </c>
      <c r="B7" s="1">
        <v>3.7431000000000001</v>
      </c>
      <c r="C7" s="2">
        <v>3.8822999999999999</v>
      </c>
      <c r="D7" s="3">
        <v>0</v>
      </c>
      <c r="E7" s="4">
        <v>0</v>
      </c>
      <c r="F7" s="3">
        <v>0</v>
      </c>
      <c r="I7" s="3">
        <v>210.00383333333335</v>
      </c>
      <c r="J7" s="4">
        <f t="shared" si="1"/>
        <v>1019.6420833333344</v>
      </c>
      <c r="K7">
        <f t="shared" si="0"/>
        <v>49.261358393370017</v>
      </c>
      <c r="L7" s="2">
        <v>3.7410000000000001</v>
      </c>
    </row>
    <row r="8" spans="1:12" x14ac:dyDescent="0.3">
      <c r="A8" t="s">
        <v>1</v>
      </c>
      <c r="B8" s="1">
        <v>3.7902999999999998</v>
      </c>
      <c r="C8" s="2">
        <v>3.5937000000000001</v>
      </c>
      <c r="D8" s="3">
        <v>-2099.6999999999998</v>
      </c>
      <c r="E8" s="4">
        <v>-2101.1</v>
      </c>
      <c r="F8" s="3">
        <v>210.05672222222222</v>
      </c>
      <c r="I8" s="3">
        <v>210.05688888888889</v>
      </c>
      <c r="J8" s="4">
        <f t="shared" si="1"/>
        <v>809.58519444444551</v>
      </c>
      <c r="K8">
        <f t="shared" si="0"/>
        <v>39.113005500044935</v>
      </c>
      <c r="L8" s="2">
        <v>3.6730999999999998</v>
      </c>
    </row>
    <row r="9" spans="1:12" x14ac:dyDescent="0.3">
      <c r="A9" t="s">
        <v>0</v>
      </c>
      <c r="B9" s="1">
        <v>3.6737000000000002</v>
      </c>
      <c r="C9" s="2">
        <v>3.8075999999999999</v>
      </c>
      <c r="D9" s="3">
        <v>0</v>
      </c>
      <c r="E9" s="4">
        <v>0</v>
      </c>
      <c r="F9" s="3">
        <v>0</v>
      </c>
      <c r="I9" s="3">
        <v>210.05586111111111</v>
      </c>
      <c r="J9" s="4">
        <f t="shared" si="1"/>
        <v>599.52933333333442</v>
      </c>
      <c r="K9">
        <f t="shared" si="0"/>
        <v>28.964702261133183</v>
      </c>
      <c r="L9" s="2">
        <v>3.5785</v>
      </c>
    </row>
    <row r="10" spans="1:12" x14ac:dyDescent="0.3">
      <c r="A10" t="s">
        <v>1</v>
      </c>
      <c r="B10" s="1">
        <v>3.7115</v>
      </c>
      <c r="C10" s="2">
        <v>3.5057</v>
      </c>
      <c r="D10" s="3">
        <v>-2099.6999999999998</v>
      </c>
      <c r="E10" s="4">
        <v>-2101.9</v>
      </c>
      <c r="F10" s="3">
        <v>210.00383333333335</v>
      </c>
      <c r="I10" s="3">
        <v>210.05699999999999</v>
      </c>
      <c r="J10" s="4">
        <f t="shared" si="1"/>
        <v>389.4723333333344</v>
      </c>
      <c r="K10">
        <f t="shared" si="0"/>
        <v>18.816343999763419</v>
      </c>
      <c r="L10" s="2">
        <v>3.5059999999999998</v>
      </c>
    </row>
    <row r="11" spans="1:12" x14ac:dyDescent="0.3">
      <c r="A11" t="s">
        <v>0</v>
      </c>
      <c r="B11" s="1">
        <v>3.5790999999999999</v>
      </c>
      <c r="C11" s="2">
        <v>3.7410000000000001</v>
      </c>
      <c r="D11" s="3">
        <v>0</v>
      </c>
      <c r="E11" s="4">
        <v>0</v>
      </c>
      <c r="F11" s="3">
        <v>0</v>
      </c>
      <c r="I11" s="3">
        <v>210.05630555555555</v>
      </c>
      <c r="J11" s="4">
        <f t="shared" si="1"/>
        <v>179.41602777777885</v>
      </c>
      <c r="K11">
        <f t="shared" si="0"/>
        <v>8.6680192886729301</v>
      </c>
      <c r="L11" s="2">
        <v>3.3330000000000002</v>
      </c>
    </row>
    <row r="12" spans="1:12" x14ac:dyDescent="0.3">
      <c r="A12" t="s">
        <v>1</v>
      </c>
      <c r="B12" s="1">
        <v>3.6473</v>
      </c>
      <c r="C12" s="2">
        <v>3.4188000000000001</v>
      </c>
      <c r="D12" s="3">
        <v>-2100.4</v>
      </c>
      <c r="E12" s="4">
        <v>-2101.1</v>
      </c>
      <c r="F12" s="3">
        <v>210.05688888888889</v>
      </c>
      <c r="I12" s="3">
        <v>179.41602777777777</v>
      </c>
      <c r="J12" s="4">
        <f t="shared" si="1"/>
        <v>1.0800249583553523E-12</v>
      </c>
      <c r="K12">
        <v>0</v>
      </c>
      <c r="L12" s="2">
        <v>3.0539999999999998</v>
      </c>
    </row>
    <row r="13" spans="1:12" x14ac:dyDescent="0.3">
      <c r="A13" t="s">
        <v>0</v>
      </c>
      <c r="B13" s="1">
        <v>3.496</v>
      </c>
      <c r="C13" s="2">
        <v>3.6730999999999998</v>
      </c>
      <c r="D13" s="3">
        <v>0</v>
      </c>
      <c r="E13" s="4">
        <v>0</v>
      </c>
      <c r="F13" s="3">
        <v>0</v>
      </c>
      <c r="I13" s="4"/>
    </row>
    <row r="14" spans="1:12" x14ac:dyDescent="0.3">
      <c r="A14" t="s">
        <v>1</v>
      </c>
      <c r="B14" s="1">
        <v>3.5794000000000001</v>
      </c>
      <c r="C14" s="2">
        <v>3.3435000000000001</v>
      </c>
      <c r="D14" s="3">
        <v>-2099.6999999999998</v>
      </c>
      <c r="E14" s="4">
        <v>-2101.1</v>
      </c>
      <c r="F14" s="3">
        <v>210.05586111111111</v>
      </c>
    </row>
    <row r="15" spans="1:12" x14ac:dyDescent="0.3">
      <c r="A15" t="s">
        <v>0</v>
      </c>
      <c r="B15" s="1">
        <v>3.4232</v>
      </c>
      <c r="C15" s="2">
        <v>3.5785</v>
      </c>
      <c r="D15" s="3">
        <v>0</v>
      </c>
      <c r="E15" s="4">
        <v>0</v>
      </c>
      <c r="F15" s="3">
        <v>0</v>
      </c>
    </row>
    <row r="16" spans="1:12" x14ac:dyDescent="0.3">
      <c r="A16" t="s">
        <v>1</v>
      </c>
      <c r="B16" s="1">
        <v>3.4832999999999998</v>
      </c>
      <c r="C16" s="2">
        <v>3.2448999999999999</v>
      </c>
      <c r="D16" s="3">
        <v>-2100.4</v>
      </c>
      <c r="E16" s="4">
        <v>-2100.4</v>
      </c>
      <c r="F16" s="3">
        <v>210.05699999999999</v>
      </c>
    </row>
    <row r="17" spans="1:6" x14ac:dyDescent="0.3">
      <c r="A17" t="s">
        <v>0</v>
      </c>
      <c r="B17" s="1">
        <v>3.3249</v>
      </c>
      <c r="C17" s="2">
        <v>3.5059999999999998</v>
      </c>
      <c r="D17" s="3">
        <v>0</v>
      </c>
      <c r="E17" s="4">
        <v>0</v>
      </c>
      <c r="F17" s="3">
        <v>0</v>
      </c>
    </row>
    <row r="18" spans="1:6" x14ac:dyDescent="0.3">
      <c r="A18" t="s">
        <v>1</v>
      </c>
      <c r="B18" s="1">
        <v>3.4058000000000002</v>
      </c>
      <c r="C18" s="2">
        <v>3.0312999999999999</v>
      </c>
      <c r="D18" s="3">
        <v>-2098.9</v>
      </c>
      <c r="E18" s="4">
        <v>-2101.1</v>
      </c>
      <c r="F18" s="3">
        <v>210.05630555555555</v>
      </c>
    </row>
    <row r="19" spans="1:6" x14ac:dyDescent="0.3">
      <c r="A19" t="s">
        <v>0</v>
      </c>
      <c r="B19" s="1">
        <v>3.1059999999999999</v>
      </c>
      <c r="C19" s="2">
        <v>3.3330000000000002</v>
      </c>
      <c r="D19" s="3">
        <v>0</v>
      </c>
      <c r="E19" s="4">
        <v>0</v>
      </c>
      <c r="F19" s="3">
        <v>0</v>
      </c>
    </row>
    <row r="20" spans="1:6" x14ac:dyDescent="0.3">
      <c r="A20" t="s">
        <v>1</v>
      </c>
      <c r="B20" s="1">
        <v>3.2322000000000002</v>
      </c>
      <c r="C20" s="2">
        <v>1.9996</v>
      </c>
      <c r="D20" s="3">
        <v>-2099.6999999999998</v>
      </c>
      <c r="E20" s="4">
        <v>-2101.1</v>
      </c>
      <c r="F20" s="3">
        <v>179.41602777777777</v>
      </c>
    </row>
    <row r="21" spans="1:6" x14ac:dyDescent="0.3">
      <c r="A21" t="s">
        <v>0</v>
      </c>
      <c r="B21" s="1">
        <v>2.1326000000000001</v>
      </c>
      <c r="C21" s="2">
        <v>3.0539999999999998</v>
      </c>
      <c r="D21" s="3">
        <v>0</v>
      </c>
      <c r="E21" s="4">
        <v>0</v>
      </c>
      <c r="F2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753E-0D6C-4EA1-B734-8C7EFD13B79B}">
  <dimension ref="A1:F13"/>
  <sheetViews>
    <sheetView tabSelected="1" workbookViewId="0">
      <selection activeCell="K21" sqref="K21"/>
    </sheetView>
  </sheetViews>
  <sheetFormatPr defaultRowHeight="14.4" x14ac:dyDescent="0.3"/>
  <cols>
    <col min="1" max="1" width="20.21875" customWidth="1"/>
    <col min="2" max="2" width="18.109375" customWidth="1"/>
  </cols>
  <sheetData>
    <row r="1" spans="1:6" x14ac:dyDescent="0.3">
      <c r="A1" t="s">
        <v>3</v>
      </c>
      <c r="B1" t="s">
        <v>2</v>
      </c>
      <c r="C1" t="s">
        <v>4</v>
      </c>
    </row>
    <row r="2" spans="1:6" x14ac:dyDescent="0.3">
      <c r="A2">
        <v>100</v>
      </c>
      <c r="B2">
        <v>4.1414999999999997</v>
      </c>
      <c r="C2">
        <v>100</v>
      </c>
    </row>
    <row r="3" spans="1:6" x14ac:dyDescent="0.3">
      <c r="A3">
        <v>89.851663210808965</v>
      </c>
      <c r="B3">
        <v>4.0655999999999999</v>
      </c>
      <c r="C3">
        <v>88.805330466029702</v>
      </c>
      <c r="E3" s="3"/>
      <c r="F3" s="4"/>
    </row>
    <row r="4" spans="1:6" x14ac:dyDescent="0.3">
      <c r="A4">
        <v>79.703443176589843</v>
      </c>
      <c r="B4">
        <v>3.9822000000000002</v>
      </c>
      <c r="C4">
        <v>77.777810409344724</v>
      </c>
      <c r="E4" s="3"/>
      <c r="F4" s="4"/>
    </row>
    <row r="5" spans="1:6" x14ac:dyDescent="0.3">
      <c r="A5">
        <v>69.555492886616108</v>
      </c>
      <c r="B5">
        <v>3.8822999999999999</v>
      </c>
      <c r="C5">
        <v>66.955489866453163</v>
      </c>
      <c r="E5" s="3"/>
      <c r="F5" s="4"/>
    </row>
    <row r="6" spans="1:6" x14ac:dyDescent="0.3">
      <c r="A6">
        <v>59.407148045358063</v>
      </c>
      <c r="B6">
        <v>3.8075999999999999</v>
      </c>
      <c r="C6">
        <v>56.339798666001869</v>
      </c>
      <c r="E6" s="3"/>
      <c r="F6" s="4"/>
    </row>
    <row r="7" spans="1:6" x14ac:dyDescent="0.3">
      <c r="A7">
        <v>49.261358393370017</v>
      </c>
      <c r="B7">
        <v>3.7410000000000001</v>
      </c>
      <c r="C7">
        <v>45.964249212858064</v>
      </c>
      <c r="E7" s="3"/>
      <c r="F7" s="4"/>
    </row>
    <row r="8" spans="1:6" x14ac:dyDescent="0.3">
      <c r="A8">
        <v>39.113005500044935</v>
      </c>
      <c r="B8">
        <v>3.6730999999999998</v>
      </c>
      <c r="C8">
        <v>35.815690556738915</v>
      </c>
      <c r="E8" s="3"/>
      <c r="F8" s="4"/>
    </row>
    <row r="9" spans="1:6" x14ac:dyDescent="0.3">
      <c r="A9">
        <v>28.964702261133183</v>
      </c>
      <c r="B9">
        <v>3.5785</v>
      </c>
      <c r="C9">
        <v>25.870568923878761</v>
      </c>
      <c r="E9" s="3"/>
      <c r="F9" s="4"/>
    </row>
    <row r="10" spans="1:6" x14ac:dyDescent="0.3">
      <c r="A10">
        <v>18.816343999763419</v>
      </c>
      <c r="B10">
        <v>3.5059999999999998</v>
      </c>
      <c r="C10">
        <v>16.196718009529963</v>
      </c>
      <c r="E10" s="3"/>
      <c r="F10" s="4"/>
    </row>
    <row r="11" spans="1:6" x14ac:dyDescent="0.3">
      <c r="A11">
        <v>8.6680192886729301</v>
      </c>
      <c r="B11">
        <v>3.3330000000000002</v>
      </c>
      <c r="C11">
        <v>6.9655347117840494</v>
      </c>
      <c r="E11" s="3"/>
      <c r="F11" s="4"/>
    </row>
    <row r="12" spans="1:6" x14ac:dyDescent="0.3">
      <c r="A12">
        <v>0</v>
      </c>
      <c r="B12">
        <v>3.0539999999999998</v>
      </c>
      <c r="C12">
        <v>0</v>
      </c>
      <c r="E12" s="3"/>
      <c r="F12" s="4"/>
    </row>
    <row r="13" spans="1:6" x14ac:dyDescent="0.3">
      <c r="E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</dc:creator>
  <cp:lastModifiedBy>Prashant</cp:lastModifiedBy>
  <dcterms:created xsi:type="dcterms:W3CDTF">2020-10-04T07:51:55Z</dcterms:created>
  <dcterms:modified xsi:type="dcterms:W3CDTF">2020-10-04T12:09:01Z</dcterms:modified>
</cp:coreProperties>
</file>